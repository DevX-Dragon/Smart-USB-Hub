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AA HACK CLUB PRJ\Smart USB Hub\Smart Hub - KiCad\bom\"/>
    </mc:Choice>
  </mc:AlternateContent>
  <xr:revisionPtr revIDLastSave="0" documentId="8_{FD1D80DF-03D3-40B8-B02F-7D7FF8EFE5B2}" xr6:coauthVersionLast="47" xr6:coauthVersionMax="47" xr10:uidLastSave="{00000000-0000-0000-0000-000000000000}"/>
  <bookViews>
    <workbookView xWindow="-120" yWindow="-120" windowWidth="20730" windowHeight="11040" xr2:uid="{3B8FA016-DB4A-4D88-84D6-F1DBF50A12A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</calcChain>
</file>

<file path=xl/sharedStrings.xml><?xml version="1.0" encoding="utf-8"?>
<sst xmlns="http://schemas.openxmlformats.org/spreadsheetml/2006/main" count="109" uniqueCount="78">
  <si>
    <t>Product Name</t>
  </si>
  <si>
    <t>Quanity</t>
  </si>
  <si>
    <t>Source Link</t>
  </si>
  <si>
    <t xml:space="preserve"> Additional Notes</t>
  </si>
  <si>
    <t>MS1117-3.3</t>
  </si>
  <si>
    <t>Basic C6186</t>
  </si>
  <si>
    <t>Customer</t>
  </si>
  <si>
    <t>U6</t>
  </si>
  <si>
    <t>JLCPCB</t>
  </si>
  <si>
    <t>AP2112K-1.2TRG1</t>
  </si>
  <si>
    <t>Extended C460310</t>
  </si>
  <si>
    <t>U1</t>
  </si>
  <si>
    <t>$0.78 </t>
  </si>
  <si>
    <t>CL21B105KBFNNNE</t>
  </si>
  <si>
    <t>Basic C28323</t>
  </si>
  <si>
    <t>C2,C3</t>
  </si>
  <si>
    <t>0603WAF9092T5E</t>
  </si>
  <si>
    <t>Extended C23129</t>
  </si>
  <si>
    <t>R11</t>
  </si>
  <si>
    <t>$0.03 </t>
  </si>
  <si>
    <t>0603WAF5101T5E</t>
  </si>
  <si>
    <t>Basic C23186</t>
  </si>
  <si>
    <t>System</t>
  </si>
  <si>
    <t>R1,R10,R2,R3,R4,R9</t>
  </si>
  <si>
    <t>CR0603FA9531G</t>
  </si>
  <si>
    <t>Extended C101242</t>
  </si>
  <si>
    <t>R13</t>
  </si>
  <si>
    <t>$0.02 </t>
  </si>
  <si>
    <t>CL10A105KO8NNNC</t>
  </si>
  <si>
    <t>Extended C1592</t>
  </si>
  <si>
    <t>C12</t>
  </si>
  <si>
    <t>$0.10 </t>
  </si>
  <si>
    <t>CL10C220JB8NNNC</t>
  </si>
  <si>
    <t>Basic C1653</t>
  </si>
  <si>
    <t>C33,C34</t>
  </si>
  <si>
    <t>TUSB8041IRGCR</t>
  </si>
  <si>
    <t>Extended C544686</t>
  </si>
  <si>
    <t>U2</t>
  </si>
  <si>
    <t>0603WAF1004T5E</t>
  </si>
  <si>
    <t>Basic C22935</t>
  </si>
  <si>
    <t>R15,R16,R17</t>
  </si>
  <si>
    <t>CL21A106KAYNNNE</t>
  </si>
  <si>
    <t>Basic C15850</t>
  </si>
  <si>
    <t>C1</t>
  </si>
  <si>
    <t>0603WAF1002T5E</t>
  </si>
  <si>
    <t>Basic C25804</t>
  </si>
  <si>
    <t>R12,R14,R5,R6,R7,R8</t>
  </si>
  <si>
    <t>3225 24M 12PF 10PPM</t>
  </si>
  <si>
    <t>Extended C5181479</t>
  </si>
  <si>
    <t>Y1</t>
  </si>
  <si>
    <t>CC0603KRX7R9BB104</t>
  </si>
  <si>
    <t>Basic C14663</t>
  </si>
  <si>
    <t>C10,C11,C13,C14,C4,C5,C6,C7,C8,C9</t>
  </si>
  <si>
    <t>TYPE-C 24P QCHT</t>
  </si>
  <si>
    <t>Extended C456013</t>
  </si>
  <si>
    <t>J5,J3,J4</t>
  </si>
  <si>
    <t>TPS2041BDBVR</t>
  </si>
  <si>
    <t>Extended C51386</t>
  </si>
  <si>
    <t>USB-A1,USB-A2,USB-C1,USB-C2</t>
  </si>
  <si>
    <t>0603B472K500NT</t>
  </si>
  <si>
    <t>Basic C53987</t>
  </si>
  <si>
    <t>C37,C38,C39</t>
  </si>
  <si>
    <t>https://www.duino.lk/product/220uf-16v-aluminum-electrolytic-capacitor/</t>
  </si>
  <si>
    <t>Price (USD)</t>
  </si>
  <si>
    <t>It should be 150uF 16V but 220uF is more avalible and fine for power filtering</t>
  </si>
  <si>
    <t>220uF 16v Aluminum Electrolytic Capacitor</t>
  </si>
  <si>
    <t>10uF 25v Aluminum Electrolytic Capacitor</t>
  </si>
  <si>
    <t>https://www.duino.lk/product/10uf-25v-aluminum-electrolytic-capacitor/</t>
  </si>
  <si>
    <t>104PF 0.1UF Ceramic Capacitor Disc</t>
  </si>
  <si>
    <t>https://www.duino.lk/product/104pf-0-1uf-ceramic-capacitor-disc/</t>
  </si>
  <si>
    <t>https://www.duino.lk/product/1uf-50v-aluminum-electrolytic-capacitor/</t>
  </si>
  <si>
    <t>1UF 50V Aluminum Electrolytic Capacitor</t>
  </si>
  <si>
    <t xml:space="preserve">This is an subsitute for 104PF 0.1UF Ceramic Capacitor Disc as there was no stock on it </t>
  </si>
  <si>
    <t>Total</t>
  </si>
  <si>
    <t>Exchange Tax?</t>
  </si>
  <si>
    <t>JLC PCB</t>
  </si>
  <si>
    <t>Shipping (for duino.lk)</t>
  </si>
  <si>
    <t>PCB ( PCB + PCBA + SHIPPING)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</si>
</sst>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9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Microsoft YaHei"/>
      <family val="2"/>
    </font>
    <font>
      <sz val="11"/>
      <color rgb="FF999999"/>
      <name val="Microsoft YaHe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8" fontId="3" fillId="2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8" fontId="3" fillId="3" borderId="0" xfId="0" applyNumberFormat="1" applyFont="1" applyFill="1" applyAlignment="1">
      <alignment horizontal="center" vertical="center" wrapText="1"/>
    </xf>
    <xf numFmtId="0" fontId="5" fillId="0" borderId="0" xfId="2"/>
    <xf numFmtId="169" fontId="2" fillId="0" borderId="0" xfId="1" applyNumberFormat="1" applyFont="1"/>
    <xf numFmtId="169" fontId="0" fillId="0" borderId="0" xfId="1" applyNumberFormat="1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2524125</xdr:colOff>
      <xdr:row>1</xdr:row>
      <xdr:rowOff>276225</xdr:rowOff>
    </xdr:from>
    <xdr:to>
      <xdr:col>0</xdr:col>
      <xdr:colOff>3438525</xdr:colOff>
      <xdr:row>3</xdr:row>
      <xdr:rowOff>561975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4D7766-6217-4E70-876F-308C9C3FF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4125" y="695325"/>
          <a:ext cx="9144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914400</xdr:colOff>
      <xdr:row>7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D61911-5574-AA6E-99B6-35BEA4718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4600"/>
          <a:ext cx="9144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914400</xdr:colOff>
      <xdr:row>10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E31449-7CE1-9BED-8E9A-715892B39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1900"/>
          <a:ext cx="9144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914400</xdr:colOff>
      <xdr:row>13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3690AD4-A35A-EBAF-41D5-1125DD90F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8750"/>
          <a:ext cx="9144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914400</xdr:colOff>
      <xdr:row>16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B768B57-E3BF-8B36-720A-47EA32EF7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96050"/>
          <a:ext cx="9144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914400</xdr:colOff>
      <xdr:row>19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6C0294A-CB00-ED7C-2960-CD41CE01F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62900"/>
          <a:ext cx="9144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914400</xdr:colOff>
      <xdr:row>22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F0DE838-7755-8550-1719-41B0B1910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29750"/>
          <a:ext cx="9144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914400</xdr:colOff>
      <xdr:row>25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6846A68-B411-4BAE-B5C4-CCB757CC8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87050"/>
          <a:ext cx="9144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914400</xdr:colOff>
      <xdr:row>28</xdr:row>
      <xdr:rowOff>76200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11278B-B14B-89C1-C83F-D6FC36F22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53900"/>
          <a:ext cx="9144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914400</xdr:colOff>
      <xdr:row>31</xdr:row>
      <xdr:rowOff>76200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C4A3274-92DC-49EB-D33F-500C77F90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11200"/>
          <a:ext cx="9144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914400</xdr:colOff>
      <xdr:row>34</xdr:row>
      <xdr:rowOff>76200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6C33620-8AC3-18B6-6D13-713602D24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68500"/>
          <a:ext cx="9144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914400</xdr:colOff>
      <xdr:row>36</xdr:row>
      <xdr:rowOff>704850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8C6DEDB-87B6-8D71-C0F8-9FB8B4395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25800"/>
          <a:ext cx="9144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914400</xdr:colOff>
      <xdr:row>39</xdr:row>
      <xdr:rowOff>704850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A51B579-1369-1C82-C843-AB7DA5E14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602200"/>
          <a:ext cx="9144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914400</xdr:colOff>
      <xdr:row>43</xdr:row>
      <xdr:rowOff>76200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7341FA1-DEF9-E9B2-5BE1-A35DBF4DB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69050"/>
          <a:ext cx="9144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914400</xdr:colOff>
      <xdr:row>46</xdr:row>
      <xdr:rowOff>76200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B6BF4B5-01AC-58BA-38EF-DDC81A36D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35900"/>
          <a:ext cx="9144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914400</xdr:colOff>
      <xdr:row>49</xdr:row>
      <xdr:rowOff>76200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D879387-1370-CC6D-FC7E-4B5C68382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02750"/>
          <a:ext cx="9144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uino.lk/product/220uf-16v-aluminum-electrolytic-capacitor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B9236-FA9F-494E-A653-6C79C6E15E1A}">
  <dimension ref="A1:F9"/>
  <sheetViews>
    <sheetView tabSelected="1" workbookViewId="0">
      <selection sqref="A1:E9"/>
    </sheetView>
  </sheetViews>
  <sheetFormatPr defaultRowHeight="15" x14ac:dyDescent="0.25"/>
  <cols>
    <col min="1" max="1" width="39.140625" customWidth="1"/>
    <col min="2" max="2" width="10.85546875" customWidth="1"/>
    <col min="3" max="3" width="20.42578125" customWidth="1"/>
    <col min="4" max="4" width="18.140625" style="12" customWidth="1"/>
    <col min="5" max="5" width="78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1" t="s">
        <v>63</v>
      </c>
      <c r="E1" s="1" t="s">
        <v>3</v>
      </c>
      <c r="F1" s="1"/>
    </row>
    <row r="2" spans="1:6" x14ac:dyDescent="0.25">
      <c r="A2" t="s">
        <v>65</v>
      </c>
      <c r="B2">
        <v>8</v>
      </c>
      <c r="C2" s="10" t="s">
        <v>62</v>
      </c>
      <c r="D2" s="12">
        <v>0.4</v>
      </c>
      <c r="E2" t="s">
        <v>64</v>
      </c>
    </row>
    <row r="3" spans="1:6" x14ac:dyDescent="0.25">
      <c r="A3" t="s">
        <v>66</v>
      </c>
      <c r="B3">
        <v>8</v>
      </c>
      <c r="C3" t="s">
        <v>67</v>
      </c>
      <c r="D3" s="12">
        <v>0.25</v>
      </c>
    </row>
    <row r="4" spans="1:6" x14ac:dyDescent="0.25">
      <c r="A4" t="s">
        <v>68</v>
      </c>
      <c r="B4">
        <v>20</v>
      </c>
      <c r="C4" t="s">
        <v>69</v>
      </c>
      <c r="D4" s="12">
        <v>0.2</v>
      </c>
    </row>
    <row r="5" spans="1:6" x14ac:dyDescent="0.25">
      <c r="A5" t="s">
        <v>71</v>
      </c>
      <c r="B5">
        <v>4</v>
      </c>
      <c r="C5" t="s">
        <v>70</v>
      </c>
      <c r="D5" s="12">
        <v>0.152</v>
      </c>
      <c r="E5" t="s">
        <v>72</v>
      </c>
    </row>
    <row r="6" spans="1:6" x14ac:dyDescent="0.25">
      <c r="A6" t="s">
        <v>77</v>
      </c>
      <c r="B6">
        <v>5</v>
      </c>
      <c r="C6" t="s">
        <v>75</v>
      </c>
      <c r="D6" s="12">
        <v>78</v>
      </c>
    </row>
    <row r="7" spans="1:6" x14ac:dyDescent="0.25">
      <c r="C7" s="1" t="s">
        <v>76</v>
      </c>
      <c r="D7" s="12">
        <v>2</v>
      </c>
    </row>
    <row r="8" spans="1:6" x14ac:dyDescent="0.25">
      <c r="C8" s="1" t="s">
        <v>74</v>
      </c>
      <c r="D8" s="12">
        <v>5</v>
      </c>
    </row>
    <row r="9" spans="1:6" x14ac:dyDescent="0.25">
      <c r="C9" s="1" t="s">
        <v>73</v>
      </c>
      <c r="D9" s="12">
        <f>SUM(D2:D8)</f>
        <v>86.001999999999995</v>
      </c>
    </row>
  </sheetData>
  <hyperlinks>
    <hyperlink ref="C2" r:id="rId1" xr:uid="{E4302288-B974-41E1-AFE3-1A615576D7F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AB437-F4B2-45FE-9C59-188A1CDDE7D2}">
  <dimension ref="A1:F50"/>
  <sheetViews>
    <sheetView workbookViewId="0">
      <selection activeCell="K7" sqref="K7"/>
    </sheetView>
  </sheetViews>
  <sheetFormatPr defaultRowHeight="15" x14ac:dyDescent="0.25"/>
  <cols>
    <col min="1" max="1" width="62.85546875" customWidth="1"/>
    <col min="2" max="2" width="48.140625" customWidth="1"/>
  </cols>
  <sheetData>
    <row r="1" spans="1:6" ht="33" x14ac:dyDescent="0.25">
      <c r="A1" s="2" t="s">
        <v>4</v>
      </c>
      <c r="B1" s="6" t="s">
        <v>6</v>
      </c>
      <c r="C1" s="6" t="s">
        <v>7</v>
      </c>
      <c r="D1" s="6">
        <v>2</v>
      </c>
      <c r="E1" s="6" t="s">
        <v>8</v>
      </c>
      <c r="F1" s="7">
        <v>0.39</v>
      </c>
    </row>
    <row r="2" spans="1:6" ht="33" x14ac:dyDescent="0.25">
      <c r="A2" s="3" t="s">
        <v>5</v>
      </c>
      <c r="B2" s="6"/>
      <c r="C2" s="6"/>
      <c r="D2" s="6"/>
      <c r="E2" s="6"/>
      <c r="F2" s="7"/>
    </row>
    <row r="3" spans="1:6" ht="16.5" x14ac:dyDescent="0.25">
      <c r="A3" s="2"/>
      <c r="B3" s="6" t="s">
        <v>6</v>
      </c>
      <c r="C3" s="6" t="s">
        <v>11</v>
      </c>
      <c r="D3" s="6">
        <v>5</v>
      </c>
      <c r="E3" s="6" t="s">
        <v>8</v>
      </c>
      <c r="F3" s="6" t="s">
        <v>12</v>
      </c>
    </row>
    <row r="4" spans="1:6" ht="66" x14ac:dyDescent="0.25">
      <c r="A4" s="2" t="s">
        <v>9</v>
      </c>
      <c r="B4" s="6"/>
      <c r="C4" s="6"/>
      <c r="D4" s="6"/>
      <c r="E4" s="6"/>
      <c r="F4" s="6"/>
    </row>
    <row r="5" spans="1:6" ht="49.5" x14ac:dyDescent="0.25">
      <c r="A5" s="3" t="s">
        <v>10</v>
      </c>
      <c r="B5" s="6"/>
      <c r="C5" s="6"/>
      <c r="D5" s="6"/>
      <c r="E5" s="6"/>
      <c r="F5" s="6"/>
    </row>
    <row r="6" spans="1:6" ht="16.5" x14ac:dyDescent="0.25">
      <c r="A6" s="2"/>
      <c r="B6" s="6" t="s">
        <v>6</v>
      </c>
      <c r="C6" s="6" t="s">
        <v>15</v>
      </c>
      <c r="D6" s="6">
        <v>4</v>
      </c>
      <c r="E6" s="6" t="s">
        <v>8</v>
      </c>
      <c r="F6" s="7">
        <v>0.04</v>
      </c>
    </row>
    <row r="7" spans="1:6" ht="49.5" x14ac:dyDescent="0.25">
      <c r="A7" s="2" t="s">
        <v>13</v>
      </c>
      <c r="B7" s="6"/>
      <c r="C7" s="6"/>
      <c r="D7" s="6"/>
      <c r="E7" s="6"/>
      <c r="F7" s="7"/>
    </row>
    <row r="8" spans="1:6" ht="33" x14ac:dyDescent="0.25">
      <c r="A8" s="3" t="s">
        <v>14</v>
      </c>
      <c r="B8" s="6"/>
      <c r="C8" s="6"/>
      <c r="D8" s="6"/>
      <c r="E8" s="6"/>
      <c r="F8" s="7"/>
    </row>
    <row r="9" spans="1:6" ht="16.5" x14ac:dyDescent="0.25">
      <c r="A9" s="2"/>
      <c r="B9" s="6" t="s">
        <v>6</v>
      </c>
      <c r="C9" s="6" t="s">
        <v>18</v>
      </c>
      <c r="D9" s="6">
        <v>20</v>
      </c>
      <c r="E9" s="6" t="s">
        <v>8</v>
      </c>
      <c r="F9" s="6" t="s">
        <v>19</v>
      </c>
    </row>
    <row r="10" spans="1:6" ht="49.5" x14ac:dyDescent="0.25">
      <c r="A10" s="2" t="s">
        <v>16</v>
      </c>
      <c r="B10" s="6"/>
      <c r="C10" s="6"/>
      <c r="D10" s="6"/>
      <c r="E10" s="6"/>
      <c r="F10" s="6"/>
    </row>
    <row r="11" spans="1:6" ht="49.5" x14ac:dyDescent="0.25">
      <c r="A11" s="3" t="s">
        <v>17</v>
      </c>
      <c r="B11" s="6"/>
      <c r="C11" s="6"/>
      <c r="D11" s="6"/>
      <c r="E11" s="6"/>
      <c r="F11" s="6"/>
    </row>
    <row r="12" spans="1:6" ht="16.5" x14ac:dyDescent="0.25">
      <c r="A12" s="2"/>
      <c r="B12" s="6" t="s">
        <v>22</v>
      </c>
      <c r="C12" s="6" t="s">
        <v>23</v>
      </c>
      <c r="D12" s="6">
        <v>12</v>
      </c>
      <c r="E12" s="6" t="s">
        <v>8</v>
      </c>
      <c r="F12" s="7">
        <v>0.01</v>
      </c>
    </row>
    <row r="13" spans="1:6" ht="49.5" x14ac:dyDescent="0.25">
      <c r="A13" s="2" t="s">
        <v>20</v>
      </c>
      <c r="B13" s="6"/>
      <c r="C13" s="6"/>
      <c r="D13" s="6"/>
      <c r="E13" s="6"/>
      <c r="F13" s="7"/>
    </row>
    <row r="14" spans="1:6" ht="33" x14ac:dyDescent="0.25">
      <c r="A14" s="3" t="s">
        <v>21</v>
      </c>
      <c r="B14" s="6"/>
      <c r="C14" s="6"/>
      <c r="D14" s="6"/>
      <c r="E14" s="6"/>
      <c r="F14" s="7"/>
    </row>
    <row r="15" spans="1:6" ht="16.5" x14ac:dyDescent="0.25">
      <c r="A15" s="2"/>
      <c r="B15" s="6" t="s">
        <v>6</v>
      </c>
      <c r="C15" s="6" t="s">
        <v>26</v>
      </c>
      <c r="D15" s="6">
        <v>20</v>
      </c>
      <c r="E15" s="6" t="s">
        <v>8</v>
      </c>
      <c r="F15" s="6" t="s">
        <v>27</v>
      </c>
    </row>
    <row r="16" spans="1:6" ht="49.5" x14ac:dyDescent="0.25">
      <c r="A16" s="2" t="s">
        <v>24</v>
      </c>
      <c r="B16" s="6"/>
      <c r="C16" s="6"/>
      <c r="D16" s="6"/>
      <c r="E16" s="6"/>
      <c r="F16" s="6"/>
    </row>
    <row r="17" spans="1:6" ht="49.5" x14ac:dyDescent="0.25">
      <c r="A17" s="3" t="s">
        <v>25</v>
      </c>
      <c r="B17" s="6"/>
      <c r="C17" s="6"/>
      <c r="D17" s="6"/>
      <c r="E17" s="6"/>
      <c r="F17" s="6"/>
    </row>
    <row r="18" spans="1:6" ht="16.5" x14ac:dyDescent="0.25">
      <c r="A18" s="2"/>
      <c r="B18" s="6" t="s">
        <v>6</v>
      </c>
      <c r="C18" s="6" t="s">
        <v>30</v>
      </c>
      <c r="D18" s="6">
        <v>20</v>
      </c>
      <c r="E18" s="6" t="s">
        <v>8</v>
      </c>
      <c r="F18" s="6" t="s">
        <v>31</v>
      </c>
    </row>
    <row r="19" spans="1:6" ht="49.5" x14ac:dyDescent="0.25">
      <c r="A19" s="2" t="s">
        <v>28</v>
      </c>
      <c r="B19" s="6"/>
      <c r="C19" s="6"/>
      <c r="D19" s="6"/>
      <c r="E19" s="6"/>
      <c r="F19" s="6"/>
    </row>
    <row r="20" spans="1:6" ht="49.5" x14ac:dyDescent="0.25">
      <c r="A20" s="3" t="s">
        <v>29</v>
      </c>
      <c r="B20" s="6"/>
      <c r="C20" s="6"/>
      <c r="D20" s="6"/>
      <c r="E20" s="6"/>
      <c r="F20" s="6"/>
    </row>
    <row r="21" spans="1:6" ht="16.5" x14ac:dyDescent="0.25">
      <c r="A21" s="2"/>
      <c r="B21" s="6" t="s">
        <v>6</v>
      </c>
      <c r="C21" s="6" t="s">
        <v>34</v>
      </c>
      <c r="D21" s="6">
        <v>4</v>
      </c>
      <c r="E21" s="6" t="s">
        <v>8</v>
      </c>
      <c r="F21" s="7">
        <v>0.02</v>
      </c>
    </row>
    <row r="22" spans="1:6" ht="49.5" x14ac:dyDescent="0.25">
      <c r="A22" s="2" t="s">
        <v>32</v>
      </c>
      <c r="B22" s="6"/>
      <c r="C22" s="6"/>
      <c r="D22" s="6"/>
      <c r="E22" s="6"/>
      <c r="F22" s="7"/>
    </row>
    <row r="23" spans="1:6" ht="33" x14ac:dyDescent="0.25">
      <c r="A23" s="3" t="s">
        <v>33</v>
      </c>
      <c r="B23" s="6"/>
      <c r="C23" s="6"/>
      <c r="D23" s="6"/>
      <c r="E23" s="6"/>
      <c r="F23" s="7"/>
    </row>
    <row r="24" spans="1:6" ht="16.5" x14ac:dyDescent="0.25">
      <c r="A24" s="2"/>
      <c r="B24" s="6" t="s">
        <v>6</v>
      </c>
      <c r="C24" s="6" t="s">
        <v>37</v>
      </c>
      <c r="D24" s="6">
        <v>2</v>
      </c>
      <c r="E24" s="6" t="s">
        <v>8</v>
      </c>
      <c r="F24" s="7">
        <v>8.2799999999999994</v>
      </c>
    </row>
    <row r="25" spans="1:6" ht="49.5" x14ac:dyDescent="0.25">
      <c r="A25" s="2" t="s">
        <v>35</v>
      </c>
      <c r="B25" s="6"/>
      <c r="C25" s="6"/>
      <c r="D25" s="6"/>
      <c r="E25" s="6"/>
      <c r="F25" s="7"/>
    </row>
    <row r="26" spans="1:6" ht="49.5" x14ac:dyDescent="0.25">
      <c r="A26" s="3" t="s">
        <v>36</v>
      </c>
      <c r="B26" s="6"/>
      <c r="C26" s="6"/>
      <c r="D26" s="6"/>
      <c r="E26" s="6"/>
      <c r="F26" s="7"/>
    </row>
    <row r="27" spans="1:6" ht="16.5" x14ac:dyDescent="0.25">
      <c r="A27" s="2"/>
      <c r="B27" s="6" t="s">
        <v>22</v>
      </c>
      <c r="C27" s="6" t="s">
        <v>40</v>
      </c>
      <c r="D27" s="6">
        <v>6</v>
      </c>
      <c r="E27" s="6" t="s">
        <v>8</v>
      </c>
      <c r="F27" s="7">
        <v>0.01</v>
      </c>
    </row>
    <row r="28" spans="1:6" ht="49.5" x14ac:dyDescent="0.25">
      <c r="A28" s="2" t="s">
        <v>38</v>
      </c>
      <c r="B28" s="6"/>
      <c r="C28" s="6"/>
      <c r="D28" s="6"/>
      <c r="E28" s="6"/>
      <c r="F28" s="7"/>
    </row>
    <row r="29" spans="1:6" ht="33" x14ac:dyDescent="0.25">
      <c r="A29" s="3" t="s">
        <v>39</v>
      </c>
      <c r="B29" s="6"/>
      <c r="C29" s="6"/>
      <c r="D29" s="6"/>
      <c r="E29" s="6"/>
      <c r="F29" s="7"/>
    </row>
    <row r="30" spans="1:6" ht="16.5" x14ac:dyDescent="0.25">
      <c r="A30" s="2"/>
      <c r="B30" s="6" t="s">
        <v>6</v>
      </c>
      <c r="C30" s="6" t="s">
        <v>43</v>
      </c>
      <c r="D30" s="6">
        <v>2</v>
      </c>
      <c r="E30" s="6" t="s">
        <v>8</v>
      </c>
      <c r="F30" s="7">
        <v>0.03</v>
      </c>
    </row>
    <row r="31" spans="1:6" ht="49.5" x14ac:dyDescent="0.25">
      <c r="A31" s="2" t="s">
        <v>41</v>
      </c>
      <c r="B31" s="6"/>
      <c r="C31" s="6"/>
      <c r="D31" s="6"/>
      <c r="E31" s="6"/>
      <c r="F31" s="7"/>
    </row>
    <row r="32" spans="1:6" ht="33" x14ac:dyDescent="0.25">
      <c r="A32" s="3" t="s">
        <v>42</v>
      </c>
      <c r="B32" s="6"/>
      <c r="C32" s="6"/>
      <c r="D32" s="6"/>
      <c r="E32" s="6"/>
      <c r="F32" s="7"/>
    </row>
    <row r="33" spans="1:6" ht="16.5" x14ac:dyDescent="0.25">
      <c r="A33" s="2"/>
      <c r="B33" s="6" t="s">
        <v>22</v>
      </c>
      <c r="C33" s="6" t="s">
        <v>46</v>
      </c>
      <c r="D33" s="6">
        <v>12</v>
      </c>
      <c r="E33" s="6" t="s">
        <v>8</v>
      </c>
      <c r="F33" s="7">
        <v>0.01</v>
      </c>
    </row>
    <row r="34" spans="1:6" ht="49.5" x14ac:dyDescent="0.25">
      <c r="A34" s="2" t="s">
        <v>44</v>
      </c>
      <c r="B34" s="6"/>
      <c r="C34" s="6"/>
      <c r="D34" s="6"/>
      <c r="E34" s="6"/>
      <c r="F34" s="7"/>
    </row>
    <row r="35" spans="1:6" ht="33" x14ac:dyDescent="0.25">
      <c r="A35" s="3" t="s">
        <v>45</v>
      </c>
      <c r="B35" s="6"/>
      <c r="C35" s="6"/>
      <c r="D35" s="6"/>
      <c r="E35" s="6"/>
      <c r="F35" s="7"/>
    </row>
    <row r="36" spans="1:6" ht="16.5" x14ac:dyDescent="0.25">
      <c r="A36" s="2"/>
      <c r="B36" s="6" t="s">
        <v>6</v>
      </c>
      <c r="C36" s="6" t="s">
        <v>49</v>
      </c>
      <c r="D36" s="6">
        <v>6</v>
      </c>
      <c r="E36" s="6" t="s">
        <v>8</v>
      </c>
      <c r="F36" s="7">
        <v>0.4</v>
      </c>
    </row>
    <row r="37" spans="1:6" ht="66" x14ac:dyDescent="0.25">
      <c r="A37" s="2" t="s">
        <v>47</v>
      </c>
      <c r="B37" s="6"/>
      <c r="C37" s="6"/>
      <c r="D37" s="6"/>
      <c r="E37" s="6"/>
      <c r="F37" s="7"/>
    </row>
    <row r="38" spans="1:6" ht="49.5" x14ac:dyDescent="0.25">
      <c r="A38" s="3" t="s">
        <v>48</v>
      </c>
      <c r="B38" s="6"/>
      <c r="C38" s="6"/>
      <c r="D38" s="6"/>
      <c r="E38" s="6"/>
      <c r="F38" s="7"/>
    </row>
    <row r="39" spans="1:6" ht="16.5" x14ac:dyDescent="0.25">
      <c r="A39" s="2"/>
      <c r="B39" s="6" t="s">
        <v>6</v>
      </c>
      <c r="C39" s="6" t="s">
        <v>52</v>
      </c>
      <c r="D39" s="6">
        <v>20</v>
      </c>
      <c r="E39" s="6" t="s">
        <v>8</v>
      </c>
      <c r="F39" s="7">
        <v>0.05</v>
      </c>
    </row>
    <row r="40" spans="1:6" ht="66" x14ac:dyDescent="0.25">
      <c r="A40" s="2" t="s">
        <v>50</v>
      </c>
      <c r="B40" s="6"/>
      <c r="C40" s="6"/>
      <c r="D40" s="6"/>
      <c r="E40" s="6"/>
      <c r="F40" s="7"/>
    </row>
    <row r="41" spans="1:6" ht="33" x14ac:dyDescent="0.25">
      <c r="A41" s="3" t="s">
        <v>51</v>
      </c>
      <c r="B41" s="6"/>
      <c r="C41" s="6"/>
      <c r="D41" s="6"/>
      <c r="E41" s="6"/>
      <c r="F41" s="7"/>
    </row>
    <row r="42" spans="1:6" ht="16.5" x14ac:dyDescent="0.25">
      <c r="A42" s="2"/>
      <c r="B42" s="6" t="s">
        <v>6</v>
      </c>
      <c r="C42" s="6" t="s">
        <v>55</v>
      </c>
      <c r="D42" s="6">
        <v>6</v>
      </c>
      <c r="E42" s="6" t="s">
        <v>8</v>
      </c>
      <c r="F42" s="7">
        <v>3.02</v>
      </c>
    </row>
    <row r="43" spans="1:6" ht="49.5" x14ac:dyDescent="0.25">
      <c r="A43" s="2" t="s">
        <v>53</v>
      </c>
      <c r="B43" s="6"/>
      <c r="C43" s="6"/>
      <c r="D43" s="6"/>
      <c r="E43" s="6"/>
      <c r="F43" s="7"/>
    </row>
    <row r="44" spans="1:6" ht="49.5" x14ac:dyDescent="0.25">
      <c r="A44" s="3" t="s">
        <v>54</v>
      </c>
      <c r="B44" s="6"/>
      <c r="C44" s="6"/>
      <c r="D44" s="6"/>
      <c r="E44" s="6"/>
      <c r="F44" s="7"/>
    </row>
    <row r="45" spans="1:6" ht="16.5" x14ac:dyDescent="0.25">
      <c r="A45" s="2"/>
      <c r="B45" s="6" t="s">
        <v>22</v>
      </c>
      <c r="C45" s="6" t="s">
        <v>58</v>
      </c>
      <c r="D45" s="6">
        <v>8</v>
      </c>
      <c r="E45" s="6" t="s">
        <v>8</v>
      </c>
      <c r="F45" s="7">
        <v>3.07</v>
      </c>
    </row>
    <row r="46" spans="1:6" ht="49.5" x14ac:dyDescent="0.25">
      <c r="A46" s="2" t="s">
        <v>56</v>
      </c>
      <c r="B46" s="6"/>
      <c r="C46" s="6"/>
      <c r="D46" s="6"/>
      <c r="E46" s="6"/>
      <c r="F46" s="7"/>
    </row>
    <row r="47" spans="1:6" ht="49.5" x14ac:dyDescent="0.25">
      <c r="A47" s="3" t="s">
        <v>57</v>
      </c>
      <c r="B47" s="6"/>
      <c r="C47" s="6"/>
      <c r="D47" s="6"/>
      <c r="E47" s="6"/>
      <c r="F47" s="7"/>
    </row>
    <row r="48" spans="1:6" ht="16.5" x14ac:dyDescent="0.25">
      <c r="A48" s="4"/>
      <c r="B48" s="8" t="s">
        <v>6</v>
      </c>
      <c r="C48" s="8" t="s">
        <v>61</v>
      </c>
      <c r="D48" s="8">
        <v>6</v>
      </c>
      <c r="E48" s="8" t="s">
        <v>8</v>
      </c>
      <c r="F48" s="9">
        <v>0.02</v>
      </c>
    </row>
    <row r="49" spans="1:6" ht="49.5" x14ac:dyDescent="0.25">
      <c r="A49" s="4" t="s">
        <v>59</v>
      </c>
      <c r="B49" s="8"/>
      <c r="C49" s="8"/>
      <c r="D49" s="8"/>
      <c r="E49" s="8"/>
      <c r="F49" s="9"/>
    </row>
    <row r="50" spans="1:6" ht="33" x14ac:dyDescent="0.25">
      <c r="A50" s="5" t="s">
        <v>60</v>
      </c>
      <c r="B50" s="8"/>
      <c r="C50" s="8"/>
      <c r="D50" s="8"/>
      <c r="E50" s="8"/>
      <c r="F50" s="9"/>
    </row>
  </sheetData>
  <mergeCells count="85">
    <mergeCell ref="B48:B50"/>
    <mergeCell ref="C48:C50"/>
    <mergeCell ref="D48:D50"/>
    <mergeCell ref="E48:E50"/>
    <mergeCell ref="F48:F50"/>
    <mergeCell ref="B42:B44"/>
    <mergeCell ref="C42:C44"/>
    <mergeCell ref="D42:D44"/>
    <mergeCell ref="E42:E44"/>
    <mergeCell ref="F42:F44"/>
    <mergeCell ref="B45:B47"/>
    <mergeCell ref="C45:C47"/>
    <mergeCell ref="D45:D47"/>
    <mergeCell ref="E45:E47"/>
    <mergeCell ref="F45:F47"/>
    <mergeCell ref="B36:B38"/>
    <mergeCell ref="C36:C38"/>
    <mergeCell ref="D36:D38"/>
    <mergeCell ref="E36:E38"/>
    <mergeCell ref="F36:F38"/>
    <mergeCell ref="B39:B41"/>
    <mergeCell ref="C39:C41"/>
    <mergeCell ref="D39:D41"/>
    <mergeCell ref="E39:E41"/>
    <mergeCell ref="F39:F41"/>
    <mergeCell ref="B30:B32"/>
    <mergeCell ref="C30:C32"/>
    <mergeCell ref="D30:D32"/>
    <mergeCell ref="E30:E32"/>
    <mergeCell ref="F30:F32"/>
    <mergeCell ref="B33:B35"/>
    <mergeCell ref="C33:C35"/>
    <mergeCell ref="D33:D35"/>
    <mergeCell ref="E33:E35"/>
    <mergeCell ref="F33:F35"/>
    <mergeCell ref="B24:B26"/>
    <mergeCell ref="C24:C26"/>
    <mergeCell ref="D24:D26"/>
    <mergeCell ref="E24:E26"/>
    <mergeCell ref="F24:F26"/>
    <mergeCell ref="B27:B29"/>
    <mergeCell ref="C27:C29"/>
    <mergeCell ref="D27:D29"/>
    <mergeCell ref="E27:E29"/>
    <mergeCell ref="F27:F29"/>
    <mergeCell ref="B18:B20"/>
    <mergeCell ref="C18:C20"/>
    <mergeCell ref="D18:D20"/>
    <mergeCell ref="E18:E20"/>
    <mergeCell ref="F18:F20"/>
    <mergeCell ref="B21:B23"/>
    <mergeCell ref="C21:C23"/>
    <mergeCell ref="D21:D23"/>
    <mergeCell ref="E21:E23"/>
    <mergeCell ref="F21:F23"/>
    <mergeCell ref="B12:B14"/>
    <mergeCell ref="C12:C14"/>
    <mergeCell ref="D12:D14"/>
    <mergeCell ref="E12:E14"/>
    <mergeCell ref="F12:F14"/>
    <mergeCell ref="B15:B17"/>
    <mergeCell ref="C15:C17"/>
    <mergeCell ref="D15:D17"/>
    <mergeCell ref="E15:E17"/>
    <mergeCell ref="F15:F17"/>
    <mergeCell ref="B6:B8"/>
    <mergeCell ref="C6:C8"/>
    <mergeCell ref="D6:D8"/>
    <mergeCell ref="E6:E8"/>
    <mergeCell ref="F6:F8"/>
    <mergeCell ref="B9:B11"/>
    <mergeCell ref="C9:C11"/>
    <mergeCell ref="D9:D11"/>
    <mergeCell ref="E9:E11"/>
    <mergeCell ref="F9:F11"/>
    <mergeCell ref="B1:B2"/>
    <mergeCell ref="C1:C2"/>
    <mergeCell ref="D1:D2"/>
    <mergeCell ref="E1:E2"/>
    <mergeCell ref="F1:F2"/>
    <mergeCell ref="B3:B5"/>
    <mergeCell ref="C3:C5"/>
    <mergeCell ref="D3:D5"/>
    <mergeCell ref="E3:E5"/>
    <mergeCell ref="F3:F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Abbadh Imran</dc:creator>
  <cp:lastModifiedBy>Abbadh Imran</cp:lastModifiedBy>
  <dcterms:created xsi:type="dcterms:W3CDTF">2026-02-15T12:24:12Z</dcterms:created>
  <dcterms:modified xsi:type="dcterms:W3CDTF">2026-02-15T14:09:40Z</dcterms:modified>
</cp:coreProperties>
</file>